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n\Desktop\Karen Mazariegos 6.to PC Laboratorio No.2\"/>
    </mc:Choice>
  </mc:AlternateContent>
  <xr:revisionPtr revIDLastSave="0" documentId="8_{EE2663E3-2812-41C6-B28A-5742DBB3FFC2}" xr6:coauthVersionLast="47" xr6:coauthVersionMax="47" xr10:uidLastSave="{00000000-0000-0000-0000-000000000000}"/>
  <bookViews>
    <workbookView xWindow="-120" yWindow="-120" windowWidth="19440" windowHeight="15000" xr2:uid="{6F673659-D947-41C9-A220-CDDA263149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" l="1"/>
  <c r="I8" i="1"/>
  <c r="H8" i="1"/>
</calcChain>
</file>

<file path=xl/sharedStrings.xml><?xml version="1.0" encoding="utf-8"?>
<sst xmlns="http://schemas.openxmlformats.org/spreadsheetml/2006/main" count="69" uniqueCount="50">
  <si>
    <t>Codigo Cliente</t>
  </si>
  <si>
    <t>Nombre Empresa</t>
  </si>
  <si>
    <t>Telefono</t>
  </si>
  <si>
    <t>Correo</t>
  </si>
  <si>
    <t>Representante Legal</t>
  </si>
  <si>
    <t>Saldo Pendiente</t>
  </si>
  <si>
    <t>Samsung</t>
  </si>
  <si>
    <t>Oppo</t>
  </si>
  <si>
    <t>Redmi</t>
  </si>
  <si>
    <t>Motorola</t>
  </si>
  <si>
    <t>Iphone</t>
  </si>
  <si>
    <t>Huawei</t>
  </si>
  <si>
    <t>sanj@gmail.com</t>
  </si>
  <si>
    <t>hunki8@gmail.com</t>
  </si>
  <si>
    <t>ramns@gmail.com</t>
  </si>
  <si>
    <t>juinh@gmail.com</t>
  </si>
  <si>
    <t>hujjkq@gmail.com</t>
  </si>
  <si>
    <t>hjuju@gmail.com</t>
  </si>
  <si>
    <t>santos@gmail.com</t>
  </si>
  <si>
    <t>marea@gmail.com</t>
  </si>
  <si>
    <t>linses@gmail.com</t>
  </si>
  <si>
    <t>hub@gmail.com</t>
  </si>
  <si>
    <t>santa@gmail.com</t>
  </si>
  <si>
    <t>juan@gmail.com</t>
  </si>
  <si>
    <t>koll@gmail.com</t>
  </si>
  <si>
    <t>kay@gmail.com</t>
  </si>
  <si>
    <t>dev@gmail.com</t>
  </si>
  <si>
    <t>Victor</t>
  </si>
  <si>
    <t>Juan</t>
  </si>
  <si>
    <t>Samanta</t>
  </si>
  <si>
    <t>Juliana</t>
  </si>
  <si>
    <t>Koll</t>
  </si>
  <si>
    <t>Yuleyca</t>
  </si>
  <si>
    <t xml:space="preserve">Juana </t>
  </si>
  <si>
    <t>Jazmin</t>
  </si>
  <si>
    <t>Camila</t>
  </si>
  <si>
    <t>Hunter</t>
  </si>
  <si>
    <t>Kay</t>
  </si>
  <si>
    <t>Elijha</t>
  </si>
  <si>
    <t>estefan</t>
  </si>
  <si>
    <t>Elena</t>
  </si>
  <si>
    <t>Katherine</t>
  </si>
  <si>
    <t>Caroline</t>
  </si>
  <si>
    <t>Brillith</t>
  </si>
  <si>
    <t>Sharon</t>
  </si>
  <si>
    <t>Nicol</t>
  </si>
  <si>
    <t>Estheafani</t>
  </si>
  <si>
    <t>Nombre</t>
  </si>
  <si>
    <t>Representante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</si>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</sst>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74D8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ipervínculo" xfId="1" builtinId="8"/>
    <cellStyle name="Normal" xfId="0" builtinId="0"/>
  </cellStyles>
  <dxfs count="1">
    <dxf>
      <font>
        <color rgb="FF0A0A0A"/>
      </font>
      <fill>
        <gradientFill type="path" left="0.5" right="0.5" top="0.5" bottom="0.5">
          <stop position="0">
            <color rgb="FFD60825"/>
          </stop>
          <stop position="1">
            <color rgb="FFF36363"/>
          </stop>
        </gradientFill>
      </fill>
      <border>
        <left style="thick">
          <color rgb="FF8B032A"/>
        </left>
        <right style="thick">
          <color rgb="FF8B032A"/>
        </right>
        <top style="thick">
          <color rgb="FF8B032A"/>
        </top>
        <bottom style="thick">
          <color rgb="FF8B032A"/>
        </bottom>
        <vertical style="medium">
          <color rgb="FF8B032A"/>
        </vertical>
      </border>
    </dxf>
  </dxfs>
  <tableStyles count="1" defaultTableStyle="TableStyleMedium2" defaultPivotStyle="PivotStyleLight16">
    <tableStyle name="Estilo de tabla 1" pivot="0" count="1" xr9:uid="{56E391A7-7657-405D-B199-9A3081FAF4D4}">
      <tableStyleElement type="wholeTable" dxfId="0"/>
    </tableStyle>
  </tableStyles>
  <colors>
    <mruColors>
      <color rgb="FFF36363"/>
      <color rgb="FFD60825"/>
      <color rgb="FF8B032A"/>
      <color rgb="FF0A0A0A"/>
      <color rgb="FFC74D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F783CD-8893-4190-A4E5-5506FF3DF04F}" name="Tabla1" displayName="Tabla1" ref="A1:F21" totalsRowShown="0">
  <autoFilter ref="A1:F21" xr:uid="{4DF783CD-8893-4190-A4E5-5506FF3DF04F}"/>
  <tableColumns count="6">
    <tableColumn id="1" xr3:uid="{2A9100A4-E5F8-4950-AB7B-0590AFB9209B}" name="Codigo Cliente"/>
    <tableColumn id="2" xr3:uid="{286A4C63-CE29-4C90-9752-3E7642D991A8}" name="Nombre Empresa"/>
    <tableColumn id="3" xr3:uid="{333CEF21-DA9B-48CB-9306-7BCA5A45B731}" name="Telefono"/>
    <tableColumn id="4" xr3:uid="{7210EC1B-BC0E-4243-9192-A0048E012B7A}" name="Correo" dataCellStyle="Hipervínculo"/>
    <tableColumn id="5" xr3:uid="{F840E9C1-9DC3-406F-B80E-4628AF30F218}" name="Representante Legal"/>
    <tableColumn id="6" xr3:uid="{F0C86B78-17BC-4DDF-8036-791FDA4BF98F}" name="Saldo Pendiente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juju@gmail.com" TargetMode="External"/><Relationship Id="rId13" Type="http://schemas.openxmlformats.org/officeDocument/2006/relationships/hyperlink" Target="mailto:santa@gmail.com" TargetMode="External"/><Relationship Id="rId18" Type="http://schemas.openxmlformats.org/officeDocument/2006/relationships/table" Target="../tables/table1.xml"/><Relationship Id="rId3" Type="http://schemas.openxmlformats.org/officeDocument/2006/relationships/hyperlink" Target="mailto:ramns@gmail.com" TargetMode="External"/><Relationship Id="rId7" Type="http://schemas.openxmlformats.org/officeDocument/2006/relationships/hyperlink" Target="mailto:hjuju@gmail.com" TargetMode="External"/><Relationship Id="rId12" Type="http://schemas.openxmlformats.org/officeDocument/2006/relationships/hyperlink" Target="mailto:hub@gmail.com" TargetMode="External"/><Relationship Id="rId17" Type="http://schemas.openxmlformats.org/officeDocument/2006/relationships/hyperlink" Target="mailto:dev@gmail.com" TargetMode="External"/><Relationship Id="rId2" Type="http://schemas.openxmlformats.org/officeDocument/2006/relationships/hyperlink" Target="mailto:hunki8@gmail.com" TargetMode="External"/><Relationship Id="rId16" Type="http://schemas.openxmlformats.org/officeDocument/2006/relationships/hyperlink" Target="mailto:kay@gmail.com" TargetMode="External"/><Relationship Id="rId1" Type="http://schemas.openxmlformats.org/officeDocument/2006/relationships/hyperlink" Target="mailto:sanj@gmail.com" TargetMode="External"/><Relationship Id="rId6" Type="http://schemas.openxmlformats.org/officeDocument/2006/relationships/hyperlink" Target="mailto:hujjkq@gmail.com" TargetMode="External"/><Relationship Id="rId11" Type="http://schemas.openxmlformats.org/officeDocument/2006/relationships/hyperlink" Target="mailto:linses@gmail.com" TargetMode="External"/><Relationship Id="rId5" Type="http://schemas.openxmlformats.org/officeDocument/2006/relationships/hyperlink" Target="mailto:juinh@gmail.com" TargetMode="External"/><Relationship Id="rId15" Type="http://schemas.openxmlformats.org/officeDocument/2006/relationships/hyperlink" Target="mailto:koll@gmail.com" TargetMode="External"/><Relationship Id="rId10" Type="http://schemas.openxmlformats.org/officeDocument/2006/relationships/hyperlink" Target="mailto:marea@gmail.com" TargetMode="External"/><Relationship Id="rId4" Type="http://schemas.openxmlformats.org/officeDocument/2006/relationships/hyperlink" Target="mailto:juinh@gmail.com" TargetMode="External"/><Relationship Id="rId9" Type="http://schemas.openxmlformats.org/officeDocument/2006/relationships/hyperlink" Target="mailto:santos@gmail.com" TargetMode="External"/><Relationship Id="rId14" Type="http://schemas.openxmlformats.org/officeDocument/2006/relationships/hyperlink" Target="mailto:ju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E6E6-B3DF-4F4A-ACD3-8CCB5CD003A6}">
  <dimension ref="A1:J21"/>
  <sheetViews>
    <sheetView tabSelected="1" workbookViewId="0">
      <selection activeCell="H19" sqref="H19"/>
    </sheetView>
  </sheetViews>
  <sheetFormatPr baseColWidth="10" defaultRowHeight="15" x14ac:dyDescent="0.25"/>
  <cols>
    <col min="1" max="1" width="16.140625" customWidth="1"/>
    <col min="2" max="2" width="18.42578125" customWidth="1"/>
    <col min="4" max="4" width="18.140625" bestFit="1" customWidth="1"/>
    <col min="5" max="5" width="21.28515625" customWidth="1"/>
    <col min="6" max="6" width="17.7109375" customWidth="1"/>
    <col min="9" max="9" width="14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25">
      <c r="A2">
        <v>1234</v>
      </c>
      <c r="B2" t="s">
        <v>6</v>
      </c>
      <c r="C2">
        <v>123357</v>
      </c>
      <c r="D2" s="1" t="s">
        <v>12</v>
      </c>
      <c r="E2" t="s">
        <v>27</v>
      </c>
      <c r="F2">
        <v>8000</v>
      </c>
    </row>
    <row r="3" spans="1:10" x14ac:dyDescent="0.25">
      <c r="A3">
        <v>3456</v>
      </c>
      <c r="B3" t="s">
        <v>7</v>
      </c>
      <c r="C3">
        <v>567875</v>
      </c>
      <c r="D3" s="1" t="s">
        <v>13</v>
      </c>
      <c r="E3" t="s">
        <v>28</v>
      </c>
      <c r="F3">
        <v>700</v>
      </c>
    </row>
    <row r="4" spans="1:10" x14ac:dyDescent="0.25">
      <c r="A4">
        <v>2765</v>
      </c>
      <c r="B4" t="s">
        <v>8</v>
      </c>
      <c r="C4">
        <v>237843</v>
      </c>
      <c r="D4" s="1" t="s">
        <v>14</v>
      </c>
      <c r="E4" t="s">
        <v>29</v>
      </c>
      <c r="F4">
        <v>300</v>
      </c>
    </row>
    <row r="5" spans="1:10" x14ac:dyDescent="0.25">
      <c r="A5">
        <v>2387</v>
      </c>
      <c r="B5" t="s">
        <v>9</v>
      </c>
      <c r="C5">
        <v>237438</v>
      </c>
      <c r="D5" s="1" t="s">
        <v>15</v>
      </c>
      <c r="E5" t="s">
        <v>30</v>
      </c>
      <c r="F5">
        <v>2999</v>
      </c>
      <c r="H5" s="2">
        <v>1234</v>
      </c>
    </row>
    <row r="6" spans="1:10" x14ac:dyDescent="0.25">
      <c r="A6">
        <v>2370</v>
      </c>
      <c r="B6" t="s">
        <v>7</v>
      </c>
      <c r="C6">
        <v>324373</v>
      </c>
      <c r="D6" s="1" t="s">
        <v>15</v>
      </c>
      <c r="E6" t="s">
        <v>31</v>
      </c>
      <c r="F6">
        <v>3902</v>
      </c>
    </row>
    <row r="7" spans="1:10" x14ac:dyDescent="0.25">
      <c r="A7">
        <v>3983</v>
      </c>
      <c r="B7" t="s">
        <v>6</v>
      </c>
      <c r="C7">
        <v>976689</v>
      </c>
      <c r="D7" s="1" t="s">
        <v>15</v>
      </c>
      <c r="E7" t="s">
        <v>32</v>
      </c>
      <c r="F7">
        <v>2873</v>
      </c>
      <c r="H7" t="s">
        <v>47</v>
      </c>
      <c r="I7" t="s">
        <v>48</v>
      </c>
      <c r="J7" t="s">
        <v>49</v>
      </c>
    </row>
    <row r="8" spans="1:10" x14ac:dyDescent="0.25">
      <c r="A8">
        <v>3238</v>
      </c>
      <c r="B8" t="s">
        <v>10</v>
      </c>
      <c r="C8">
        <v>987632</v>
      </c>
      <c r="D8" s="1" t="s">
        <v>16</v>
      </c>
      <c r="E8" t="s">
        <v>33</v>
      </c>
      <c r="F8">
        <v>900</v>
      </c>
      <c r="H8" t="str">
        <f>VLOOKUP(H5,Tabla1[],2,FALSE)</f>
        <v>Samsung</v>
      </c>
      <c r="I8" t="str">
        <f>VLOOKUP(H5,Tabla1[],5,FALSE)</f>
        <v>Victor</v>
      </c>
      <c r="J8">
        <f>VLOOKUP(H5,Tabla1[],6,FALSE)</f>
        <v>8000</v>
      </c>
    </row>
    <row r="9" spans="1:10" x14ac:dyDescent="0.25">
      <c r="A9">
        <v>2037</v>
      </c>
      <c r="B9" t="s">
        <v>11</v>
      </c>
      <c r="C9">
        <v>678903</v>
      </c>
      <c r="D9" s="1" t="s">
        <v>17</v>
      </c>
      <c r="E9" t="s">
        <v>34</v>
      </c>
      <c r="F9">
        <v>3809</v>
      </c>
    </row>
    <row r="10" spans="1:10" x14ac:dyDescent="0.25">
      <c r="A10">
        <v>2376</v>
      </c>
      <c r="B10" t="s">
        <v>6</v>
      </c>
      <c r="C10">
        <v>368927</v>
      </c>
      <c r="D10" s="1" t="s">
        <v>17</v>
      </c>
      <c r="E10" t="s">
        <v>35</v>
      </c>
      <c r="F10">
        <v>678</v>
      </c>
    </row>
    <row r="11" spans="1:10" x14ac:dyDescent="0.25">
      <c r="A11">
        <v>3238</v>
      </c>
      <c r="B11" t="s">
        <v>7</v>
      </c>
      <c r="C11">
        <v>327363</v>
      </c>
      <c r="D11" s="1" t="s">
        <v>17</v>
      </c>
      <c r="E11" t="s">
        <v>36</v>
      </c>
      <c r="F11">
        <v>4434</v>
      </c>
    </row>
    <row r="12" spans="1:10" x14ac:dyDescent="0.25">
      <c r="A12">
        <v>2378</v>
      </c>
      <c r="B12" t="s">
        <v>11</v>
      </c>
      <c r="C12">
        <v>897632</v>
      </c>
      <c r="D12" s="1" t="s">
        <v>17</v>
      </c>
      <c r="E12" t="s">
        <v>37</v>
      </c>
      <c r="F12">
        <v>566</v>
      </c>
    </row>
    <row r="13" spans="1:10" x14ac:dyDescent="0.25">
      <c r="A13">
        <v>2376</v>
      </c>
      <c r="B13" t="s">
        <v>7</v>
      </c>
      <c r="C13">
        <v>345632</v>
      </c>
      <c r="D13" s="1" t="s">
        <v>18</v>
      </c>
      <c r="E13" t="s">
        <v>38</v>
      </c>
      <c r="F13">
        <v>747</v>
      </c>
    </row>
    <row r="14" spans="1:10" x14ac:dyDescent="0.25">
      <c r="A14">
        <v>3487</v>
      </c>
      <c r="B14" t="s">
        <v>7</v>
      </c>
      <c r="C14">
        <v>342345</v>
      </c>
      <c r="D14" s="1" t="s">
        <v>19</v>
      </c>
      <c r="E14" t="s">
        <v>39</v>
      </c>
      <c r="F14">
        <v>7634</v>
      </c>
    </row>
    <row r="15" spans="1:10" x14ac:dyDescent="0.25">
      <c r="A15">
        <v>9873</v>
      </c>
      <c r="B15" t="s">
        <v>6</v>
      </c>
      <c r="C15">
        <v>238476</v>
      </c>
      <c r="D15" s="1" t="s">
        <v>20</v>
      </c>
      <c r="E15" t="s">
        <v>40</v>
      </c>
      <c r="F15">
        <v>2334</v>
      </c>
    </row>
    <row r="16" spans="1:10" x14ac:dyDescent="0.25">
      <c r="A16">
        <v>2347</v>
      </c>
      <c r="B16" t="s">
        <v>6</v>
      </c>
      <c r="C16">
        <v>923643</v>
      </c>
      <c r="D16" s="1" t="s">
        <v>21</v>
      </c>
      <c r="E16" t="s">
        <v>41</v>
      </c>
      <c r="F16">
        <v>456</v>
      </c>
    </row>
    <row r="17" spans="1:6" x14ac:dyDescent="0.25">
      <c r="A17">
        <v>4877</v>
      </c>
      <c r="B17" t="s">
        <v>9</v>
      </c>
      <c r="C17">
        <v>978763</v>
      </c>
      <c r="D17" s="1" t="s">
        <v>22</v>
      </c>
      <c r="E17" t="s">
        <v>42</v>
      </c>
      <c r="F17">
        <v>435</v>
      </c>
    </row>
    <row r="18" spans="1:6" x14ac:dyDescent="0.25">
      <c r="A18">
        <v>3764</v>
      </c>
      <c r="B18" t="s">
        <v>8</v>
      </c>
      <c r="C18">
        <v>293873</v>
      </c>
      <c r="D18" s="1" t="s">
        <v>23</v>
      </c>
      <c r="E18" t="s">
        <v>43</v>
      </c>
      <c r="F18">
        <v>46</v>
      </c>
    </row>
    <row r="19" spans="1:6" x14ac:dyDescent="0.25">
      <c r="A19">
        <v>5405</v>
      </c>
      <c r="B19" t="s">
        <v>10</v>
      </c>
      <c r="C19">
        <v>936873</v>
      </c>
      <c r="D19" s="1" t="s">
        <v>24</v>
      </c>
      <c r="E19" t="s">
        <v>44</v>
      </c>
      <c r="F19">
        <v>346</v>
      </c>
    </row>
    <row r="20" spans="1:6" x14ac:dyDescent="0.25">
      <c r="A20">
        <v>3944</v>
      </c>
      <c r="B20" t="s">
        <v>11</v>
      </c>
      <c r="C20">
        <v>237873</v>
      </c>
      <c r="D20" s="1" t="s">
        <v>25</v>
      </c>
      <c r="E20" t="s">
        <v>45</v>
      </c>
      <c r="F20">
        <v>876</v>
      </c>
    </row>
    <row r="21" spans="1:6" x14ac:dyDescent="0.25">
      <c r="A21">
        <v>3422</v>
      </c>
      <c r="B21" t="s">
        <v>6</v>
      </c>
      <c r="C21">
        <v>379873</v>
      </c>
      <c r="D21" s="1" t="s">
        <v>26</v>
      </c>
      <c r="E21" t="s">
        <v>46</v>
      </c>
      <c r="F21">
        <v>4556</v>
      </c>
    </row>
  </sheetData>
  <hyperlinks>
    <hyperlink ref="D2" r:id="rId1" xr:uid="{62DEFC88-BACD-4B15-B8B2-94051F8EA61B}"/>
    <hyperlink ref="D3" r:id="rId2" xr:uid="{959B3A1F-54E3-488D-AEEB-73167CAB8EAD}"/>
    <hyperlink ref="D4" r:id="rId3" xr:uid="{05579D00-E1F1-4FAB-98C9-18F9C98A11DC}"/>
    <hyperlink ref="D5" r:id="rId4" xr:uid="{32A7C4F4-8A1F-43F0-ADCC-6E1130DD01F2}"/>
    <hyperlink ref="D6:D7" r:id="rId5" display="juinh@gmail.com" xr:uid="{40D8B6D8-FFDA-4225-8091-B414F09368C4}"/>
    <hyperlink ref="D8" r:id="rId6" xr:uid="{C7B28781-21DD-44F5-8DAA-63CFF3DF9506}"/>
    <hyperlink ref="D9" r:id="rId7" xr:uid="{F02A7872-C843-4E51-8C30-586DBE70453B}"/>
    <hyperlink ref="D10:D12" r:id="rId8" display="hjuju@gmail.com" xr:uid="{D31DBE3D-C2F8-48DB-9B35-6ED6611514C1}"/>
    <hyperlink ref="D13" r:id="rId9" xr:uid="{88C8BA38-0EEC-4AA0-903C-92E15E28655A}"/>
    <hyperlink ref="D14" r:id="rId10" xr:uid="{EFAE1BA7-8129-44AF-80DA-B52193BC2F9B}"/>
    <hyperlink ref="D15" r:id="rId11" xr:uid="{4C603E21-783F-410A-8342-FBDB5CCB15CC}"/>
    <hyperlink ref="D16" r:id="rId12" xr:uid="{EA083D53-CF53-49C3-9DAF-9C6EDBB53262}"/>
    <hyperlink ref="D17" r:id="rId13" xr:uid="{3C488483-94BE-4EEE-AEDE-739421E80CA9}"/>
    <hyperlink ref="D18" r:id="rId14" xr:uid="{62188FA3-EA68-47CC-99C0-4A29FDF24B9C}"/>
    <hyperlink ref="D19" r:id="rId15" xr:uid="{E97EBFC5-E688-4C07-A1E9-B3A32D15E58E}"/>
    <hyperlink ref="D20" r:id="rId16" xr:uid="{875C9F03-0452-4E31-A0B4-FEAB1733BCC1}"/>
    <hyperlink ref="D21" r:id="rId17" xr:uid="{ED9DBE6B-498D-4012-A870-CF576DC86FA2}"/>
  </hyperlinks>
  <pageMargins left="0.7" right="0.7" top="0.75" bottom="0.75" header="0.3" footer="0.3"/>
  <tableParts count="1"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</cp:lastModifiedBy>
  <dcterms:created xsi:type="dcterms:W3CDTF">2026-05-21T17:03:02Z</dcterms:created>
  <dcterms:modified xsi:type="dcterms:W3CDTF">2026-05-21T17:33:45Z</dcterms:modified>
</cp:coreProperties>
</file>