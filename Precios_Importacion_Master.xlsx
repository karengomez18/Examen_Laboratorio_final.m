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esktop\Karen Mazariegos 6.to PC Laboratorio No.2\"/>
    </mc:Choice>
  </mc:AlternateContent>
  <xr:revisionPtr revIDLastSave="0" documentId="8_{3CA32A77-9F06-4C56-AFF5-9B9A0F7DD3AD}" xr6:coauthVersionLast="47" xr6:coauthVersionMax="47" xr10:uidLastSave="{00000000-0000-0000-0000-000000000000}"/>
  <bookViews>
    <workbookView xWindow="-120" yWindow="-120" windowWidth="19440" windowHeight="15000" xr2:uid="{0C2FD4C5-BD44-438C-81D0-59ACE5C5C1F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<sst xmlns="http://schemas.openxmlformats.org/spreadsheetml/2006/main" count="40" uniqueCount="26">
  <si>
    <t>Codigo</t>
  </si>
  <si>
    <t>Descripcion</t>
  </si>
  <si>
    <t>Categoria Producto</t>
  </si>
  <si>
    <t>impuesto Aplicable</t>
  </si>
  <si>
    <t>bocina azul 20cm</t>
  </si>
  <si>
    <t>mause rojo de 10cm</t>
  </si>
  <si>
    <t>teclado azul de 20cm</t>
  </si>
  <si>
    <t xml:space="preserve">programa contable </t>
  </si>
  <si>
    <t>software</t>
  </si>
  <si>
    <t>pantalla de 30cm</t>
  </si>
  <si>
    <t>cpu negro de 25cm</t>
  </si>
  <si>
    <t>bocina negra de 15cm</t>
  </si>
  <si>
    <t>bocina roja de 10 cm</t>
  </si>
  <si>
    <t>mause azul de 10cm</t>
  </si>
  <si>
    <t>usb negro de 5cm</t>
  </si>
  <si>
    <t>audifonos grises de 8cm</t>
  </si>
  <si>
    <t>pantalla de 35cm</t>
  </si>
  <si>
    <t>programa de microsoft</t>
  </si>
  <si>
    <t>usb azul de 6cm</t>
  </si>
  <si>
    <t>cpu azul de 20cm</t>
  </si>
  <si>
    <t>hardware</t>
  </si>
  <si>
    <t>Tasa Impuesto</t>
  </si>
  <si>
    <t>Software</t>
  </si>
  <si>
    <t>Redes</t>
  </si>
  <si>
    <t xml:space="preserve">Licencia 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</si>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</sst>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">
    <dxf>
      <font>
        <color rgb="FF120C0D"/>
      </font>
      <fill>
        <gradientFill degree="225">
          <stop position="0">
            <color rgb="FFAD3CD0"/>
          </stop>
          <stop position="1">
            <color rgb="FFDCADE5"/>
          </stop>
        </gradientFill>
      </fill>
      <border>
        <left style="thick">
          <color rgb="FF6F2686"/>
        </left>
        <right style="thick">
          <color rgb="FF6F2686"/>
        </right>
        <top style="thick">
          <color rgb="FF6F2686"/>
        </top>
        <bottom style="thick">
          <color rgb="FF6F2686"/>
        </bottom>
        <vertical style="medium">
          <color rgb="FF6F2686"/>
        </vertical>
      </border>
    </dxf>
    <dxf>
      <numFmt numFmtId="13" formatCode="0%"/>
    </dxf>
  </dxfs>
  <tableStyles count="1" defaultTableStyle="TableStyleMedium2" defaultPivotStyle="PivotStyleLight16">
    <tableStyle name="Estilo de tabla 1" pivot="0" count="1" xr9:uid="{977A8E56-7FED-4B50-A073-25AF6DF5464D}">
      <tableStyleElement type="wholeTable" dxfId="0"/>
    </tableStyle>
  </tableStyles>
  <colors>
    <mruColors>
      <color rgb="FFDCADE5"/>
      <color rgb="FFC06ED0"/>
      <color rgb="FFAD3CD0"/>
      <color rgb="FF6F2686"/>
      <color rgb="FF120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3ECC93-60B3-46CF-9CA3-E59EC1CF32D2}" name="Tabla2" displayName="Tabla2" ref="A1:D16" totalsRowShown="0">
  <autoFilter ref="A1:D16" xr:uid="{133ECC93-60B3-46CF-9CA3-E59EC1CF32D2}"/>
  <tableColumns count="4">
    <tableColumn id="1" xr3:uid="{1086F822-F749-4C26-9819-1400C2E72A00}" name="Codigo"/>
    <tableColumn id="2" xr3:uid="{A3838BE8-A9D0-4B3A-B111-E8C64812C14E}" name="Descripcion"/>
    <tableColumn id="3" xr3:uid="{B3C62FDD-9847-45B0-8581-9348750214F9}" name="Categoria Producto"/>
    <tableColumn id="4" xr3:uid="{B61F5E21-224F-4937-A42F-9701C98A9372}" name="impuesto Aplicable">
      <calculatedColumnFormula>VLOOKUP(C2,Tabla1[],2,FALSE)</calculatedColumnFormula>
    </tableColumn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5F574-6EC1-4047-9208-718FC1A76201}" name="Tabla1" displayName="Tabla1" ref="A1:B5" totalsRowShown="0">
  <autoFilter ref="A1:B5" xr:uid="{5DB5F574-6EC1-4047-9208-718FC1A76201}"/>
  <tableColumns count="2">
    <tableColumn id="1" xr3:uid="{C9F1AE42-B361-4C50-BD26-F02DFF4E2922}" name="Categoria Producto"/>
    <tableColumn id="2" xr3:uid="{2078F28A-8611-440F-B8F3-CD9DC2E765FD}" name="Tasa Impues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530F-ECF3-4CC4-B873-F64577AF401A}">
  <dimension ref="A1:D16"/>
  <sheetViews>
    <sheetView tabSelected="1" workbookViewId="0">
      <selection activeCell="F21" sqref="F21"/>
    </sheetView>
  </sheetViews>
  <sheetFormatPr baseColWidth="10" defaultRowHeight="15" x14ac:dyDescent="0.25"/>
  <cols>
    <col min="2" max="2" width="22.140625" customWidth="1"/>
    <col min="3" max="3" width="20" customWidth="1"/>
    <col min="4" max="4" width="2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1234</v>
      </c>
      <c r="B2" t="s">
        <v>4</v>
      </c>
      <c r="C2" t="s">
        <v>20</v>
      </c>
      <c r="D2">
        <f>VLOOKUP(C2,Tabla1[],2,FALSE)</f>
        <v>0.12</v>
      </c>
    </row>
    <row r="3" spans="1:4" x14ac:dyDescent="0.25">
      <c r="A3">
        <v>3921</v>
      </c>
      <c r="B3" t="s">
        <v>5</v>
      </c>
      <c r="C3" t="s">
        <v>20</v>
      </c>
      <c r="D3">
        <f>VLOOKUP(C3,Tabla1[],2,FALSE)</f>
        <v>0.12</v>
      </c>
    </row>
    <row r="4" spans="1:4" x14ac:dyDescent="0.25">
      <c r="A4">
        <v>3323</v>
      </c>
      <c r="B4" t="s">
        <v>6</v>
      </c>
      <c r="C4" t="s">
        <v>20</v>
      </c>
      <c r="D4">
        <f>VLOOKUP(C4,Tabla1[],2,FALSE)</f>
        <v>0.12</v>
      </c>
    </row>
    <row r="5" spans="1:4" x14ac:dyDescent="0.25">
      <c r="A5">
        <v>2343</v>
      </c>
      <c r="B5" t="s">
        <v>7</v>
      </c>
      <c r="C5" t="s">
        <v>8</v>
      </c>
      <c r="D5">
        <f>VLOOKUP(C5,Tabla1[],2,FALSE)</f>
        <v>0.05</v>
      </c>
    </row>
    <row r="6" spans="1:4" x14ac:dyDescent="0.25">
      <c r="A6">
        <v>9042</v>
      </c>
      <c r="B6" t="s">
        <v>9</v>
      </c>
      <c r="C6" t="s">
        <v>20</v>
      </c>
      <c r="D6">
        <f>VLOOKUP(C6,Tabla1[],2,FALSE)</f>
        <v>0.12</v>
      </c>
    </row>
    <row r="7" spans="1:4" x14ac:dyDescent="0.25">
      <c r="A7">
        <v>3432</v>
      </c>
      <c r="B7" t="s">
        <v>10</v>
      </c>
      <c r="C7" t="s">
        <v>20</v>
      </c>
      <c r="D7">
        <f>VLOOKUP(C7,Tabla1[],2,FALSE)</f>
        <v>0.12</v>
      </c>
    </row>
    <row r="8" spans="1:4" x14ac:dyDescent="0.25">
      <c r="A8">
        <v>5465</v>
      </c>
      <c r="B8" t="s">
        <v>11</v>
      </c>
      <c r="C8" t="s">
        <v>20</v>
      </c>
      <c r="D8">
        <f>VLOOKUP(C8,Tabla1[],2,FALSE)</f>
        <v>0.12</v>
      </c>
    </row>
    <row r="9" spans="1:4" x14ac:dyDescent="0.25">
      <c r="A9">
        <v>6546</v>
      </c>
      <c r="B9" t="s">
        <v>12</v>
      </c>
      <c r="C9" t="s">
        <v>20</v>
      </c>
      <c r="D9">
        <f>VLOOKUP(C9,Tabla1[],2,FALSE)</f>
        <v>0.12</v>
      </c>
    </row>
    <row r="10" spans="1:4" x14ac:dyDescent="0.25">
      <c r="A10">
        <v>7567</v>
      </c>
      <c r="B10" t="s">
        <v>13</v>
      </c>
      <c r="C10" t="s">
        <v>20</v>
      </c>
      <c r="D10">
        <f>VLOOKUP(C10,Tabla1[],2,FALSE)</f>
        <v>0.12</v>
      </c>
    </row>
    <row r="11" spans="1:4" x14ac:dyDescent="0.25">
      <c r="A11">
        <v>8567</v>
      </c>
      <c r="B11" t="s">
        <v>14</v>
      </c>
      <c r="C11" t="s">
        <v>20</v>
      </c>
      <c r="D11">
        <f>VLOOKUP(C11,Tabla1[],2,FALSE)</f>
        <v>0.12</v>
      </c>
    </row>
    <row r="12" spans="1:4" x14ac:dyDescent="0.25">
      <c r="A12">
        <v>5678</v>
      </c>
      <c r="B12" t="s">
        <v>15</v>
      </c>
      <c r="C12" t="s">
        <v>20</v>
      </c>
      <c r="D12">
        <f>VLOOKUP(C12,Tabla1[],2,FALSE)</f>
        <v>0.12</v>
      </c>
    </row>
    <row r="13" spans="1:4" x14ac:dyDescent="0.25">
      <c r="A13">
        <v>4576</v>
      </c>
      <c r="B13" t="s">
        <v>16</v>
      </c>
      <c r="C13" t="s">
        <v>20</v>
      </c>
      <c r="D13">
        <f>VLOOKUP(C13,Tabla1[],2,FALSE)</f>
        <v>0.12</v>
      </c>
    </row>
    <row r="14" spans="1:4" x14ac:dyDescent="0.25">
      <c r="A14">
        <v>8567</v>
      </c>
      <c r="B14" t="s">
        <v>17</v>
      </c>
      <c r="C14" t="s">
        <v>8</v>
      </c>
      <c r="D14">
        <f>VLOOKUP(C14,Tabla1[],2,FALSE)</f>
        <v>0.05</v>
      </c>
    </row>
    <row r="15" spans="1:4" x14ac:dyDescent="0.25">
      <c r="A15">
        <v>5678</v>
      </c>
      <c r="B15" t="s">
        <v>18</v>
      </c>
      <c r="C15" t="s">
        <v>20</v>
      </c>
      <c r="D15">
        <f>VLOOKUP(C15,Tabla1[],2,FALSE)</f>
        <v>0.12</v>
      </c>
    </row>
    <row r="16" spans="1:4" x14ac:dyDescent="0.25">
      <c r="A16">
        <v>4567</v>
      </c>
      <c r="B16" t="s">
        <v>19</v>
      </c>
      <c r="C16" t="s">
        <v>20</v>
      </c>
      <c r="D16">
        <f>VLOOKUP(C16,Tabla1[],2,FALSE)</f>
        <v>0.12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E5E1-3AD0-4DC1-96E6-B95A5F7611A6}">
  <dimension ref="A1:B5"/>
  <sheetViews>
    <sheetView workbookViewId="0">
      <selection activeCell="A32" sqref="A32"/>
    </sheetView>
  </sheetViews>
  <sheetFormatPr baseColWidth="10" defaultRowHeight="15" x14ac:dyDescent="0.25"/>
  <cols>
    <col min="1" max="1" width="20" customWidth="1"/>
    <col min="2" max="2" width="15.85546875" customWidth="1"/>
  </cols>
  <sheetData>
    <row r="1" spans="1:2" x14ac:dyDescent="0.25">
      <c r="A1" t="s">
        <v>2</v>
      </c>
      <c r="B1" t="s">
        <v>21</v>
      </c>
    </row>
    <row r="2" spans="1:2" x14ac:dyDescent="0.25">
      <c r="A2" t="s">
        <v>25</v>
      </c>
      <c r="B2" s="1">
        <v>0.12</v>
      </c>
    </row>
    <row r="3" spans="1:2" x14ac:dyDescent="0.25">
      <c r="A3" t="s">
        <v>22</v>
      </c>
      <c r="B3" s="1">
        <v>0.05</v>
      </c>
    </row>
    <row r="4" spans="1:2" x14ac:dyDescent="0.25">
      <c r="A4" t="s">
        <v>23</v>
      </c>
      <c r="B4" s="1">
        <v>0.15</v>
      </c>
    </row>
    <row r="5" spans="1:2" x14ac:dyDescent="0.25">
      <c r="A5" t="s">
        <v>24</v>
      </c>
      <c r="B5" s="1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2026-05-21T16:37:45Z</dcterms:created>
  <dcterms:modified xsi:type="dcterms:W3CDTF">2026-05-21T17:02:55Z</dcterms:modified>
</cp:coreProperties>
</file>